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ton\Desktop\Projeto\EFR\data\"/>
    </mc:Choice>
  </mc:AlternateContent>
  <xr:revisionPtr revIDLastSave="0" documentId="13_ncr:1_{6BB1856B-F3DD-49D4-B5AA-2A9D7787AF5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scala Final" sheetId="1" r:id="rId1"/>
    <sheet name="Estatist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C27" i="2"/>
  <c r="B27" i="2"/>
  <c r="D26" i="2"/>
  <c r="C26" i="2"/>
  <c r="B26" i="2"/>
  <c r="E26" i="2" s="1"/>
  <c r="D25" i="2"/>
  <c r="C25" i="2"/>
  <c r="B25" i="2"/>
  <c r="D24" i="2"/>
  <c r="C24" i="2"/>
  <c r="B24" i="2"/>
  <c r="E24" i="2" s="1"/>
  <c r="D23" i="2"/>
  <c r="C23" i="2"/>
  <c r="B23" i="2"/>
  <c r="D22" i="2"/>
  <c r="C22" i="2"/>
  <c r="B22" i="2"/>
  <c r="D21" i="2"/>
  <c r="C21" i="2"/>
  <c r="B21" i="2"/>
  <c r="D20" i="2"/>
  <c r="C20" i="2"/>
  <c r="E20" i="2" s="1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J13" i="2"/>
  <c r="I13" i="2"/>
  <c r="H13" i="2"/>
  <c r="D13" i="2"/>
  <c r="C13" i="2"/>
  <c r="B13" i="2"/>
  <c r="J12" i="2"/>
  <c r="I12" i="2"/>
  <c r="H12" i="2"/>
  <c r="D12" i="2"/>
  <c r="C12" i="2"/>
  <c r="B12" i="2"/>
  <c r="J11" i="2"/>
  <c r="I11" i="2"/>
  <c r="H11" i="2"/>
  <c r="D11" i="2"/>
  <c r="C11" i="2"/>
  <c r="B11" i="2"/>
  <c r="J10" i="2"/>
  <c r="I10" i="2"/>
  <c r="H10" i="2"/>
  <c r="D10" i="2"/>
  <c r="C10" i="2"/>
  <c r="B10" i="2"/>
  <c r="J9" i="2"/>
  <c r="I9" i="2"/>
  <c r="H9" i="2"/>
  <c r="D9" i="2"/>
  <c r="C9" i="2"/>
  <c r="E9" i="2" s="1"/>
  <c r="B9" i="2"/>
  <c r="D8" i="2"/>
  <c r="C8" i="2"/>
  <c r="B8" i="2"/>
  <c r="D7" i="2"/>
  <c r="C7" i="2"/>
  <c r="B7" i="2"/>
  <c r="D6" i="2"/>
  <c r="C6" i="2"/>
  <c r="B6" i="2"/>
  <c r="D5" i="2"/>
  <c r="H5" i="2" s="1"/>
  <c r="C5" i="2"/>
  <c r="B5" i="2"/>
  <c r="E7" i="2" l="1"/>
  <c r="E12" i="2"/>
  <c r="E18" i="2"/>
  <c r="E5" i="2"/>
  <c r="E11" i="2"/>
  <c r="E16" i="2"/>
  <c r="E10" i="2"/>
  <c r="E14" i="2"/>
  <c r="E22" i="2"/>
  <c r="E6" i="2"/>
  <c r="E19" i="2"/>
  <c r="E17" i="2"/>
  <c r="E15" i="2"/>
  <c r="E25" i="2"/>
  <c r="H4" i="2"/>
  <c r="E23" i="2"/>
  <c r="E21" i="2"/>
  <c r="E13" i="2"/>
  <c r="E8" i="2"/>
  <c r="E27" i="2"/>
  <c r="H3" i="2"/>
</calcChain>
</file>

<file path=xl/sharedStrings.xml><?xml version="1.0" encoding="utf-8"?>
<sst xmlns="http://schemas.openxmlformats.org/spreadsheetml/2006/main" count="217" uniqueCount="53">
  <si>
    <t>ESCALA CONSOLIDADA - FUNÇÕES QUENTES E APOIO</t>
  </si>
  <si>
    <t>Período: 04/05/2026 a 15/05/2026 | Exercícios 1º e 2º</t>
  </si>
  <si>
    <t>Data</t>
  </si>
  <si>
    <t>Dia</t>
  </si>
  <si>
    <t>EX</t>
  </si>
  <si>
    <t>Chefe</t>
  </si>
  <si>
    <t>Auxiliar</t>
  </si>
  <si>
    <t>Segurança</t>
  </si>
  <si>
    <t>Condições</t>
  </si>
  <si>
    <t>Monitor 1</t>
  </si>
  <si>
    <t>Monitor 2</t>
  </si>
  <si>
    <t>Seg</t>
  </si>
  <si>
    <t>1º</t>
  </si>
  <si>
    <t>Cel Ivanete</t>
  </si>
  <si>
    <t>Cap Amador</t>
  </si>
  <si>
    <t>Sgt Cristiano</t>
  </si>
  <si>
    <t>SD Carlos Monteiro</t>
  </si>
  <si>
    <t>Cap Caio</t>
  </si>
  <si>
    <t>Sgt Eline</t>
  </si>
  <si>
    <t>2º</t>
  </si>
  <si>
    <t>Cap Jorge Luiz</t>
  </si>
  <si>
    <t>Sgt Fernando</t>
  </si>
  <si>
    <t>Sgt Santiago</t>
  </si>
  <si>
    <t>Sgt S. Souza</t>
  </si>
  <si>
    <t>SD Elâine</t>
  </si>
  <si>
    <t>SD Jaffer</t>
  </si>
  <si>
    <t>Ter</t>
  </si>
  <si>
    <t>Maj Chucre</t>
  </si>
  <si>
    <t>Cap Charlys</t>
  </si>
  <si>
    <t>SD R. dos Santos</t>
  </si>
  <si>
    <t>SD Thales</t>
  </si>
  <si>
    <t>SD Jorge Lucas</t>
  </si>
  <si>
    <t>SD Mateus Felipe</t>
  </si>
  <si>
    <t>Ten Cecília</t>
  </si>
  <si>
    <t>SD Raíssa</t>
  </si>
  <si>
    <t>SD Nicoly</t>
  </si>
  <si>
    <t>SD Nunes</t>
  </si>
  <si>
    <t>Qua</t>
  </si>
  <si>
    <t>SD Axl</t>
  </si>
  <si>
    <t>Qui</t>
  </si>
  <si>
    <t>Sex</t>
  </si>
  <si>
    <t>ESTATÍSTICA DAS FUNÇÕES QUENTES</t>
  </si>
  <si>
    <t>Resumo</t>
  </si>
  <si>
    <t>Contagem automática de Chefe, Auxiliar e Segurança a partir da planilha Escala Final</t>
  </si>
  <si>
    <t>Total de linhas na escala</t>
  </si>
  <si>
    <t>Total de chefias</t>
  </si>
  <si>
    <t>Nome</t>
  </si>
  <si>
    <t>Total quente</t>
  </si>
  <si>
    <t>Total de auxílios</t>
  </si>
  <si>
    <t>Total de seguranças</t>
  </si>
  <si>
    <t>Destaques</t>
  </si>
  <si>
    <t>Ocorrências</t>
  </si>
  <si>
    <t>Chefias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</si>
</sst>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name val="Aptos"/>
    </font>
    <font>
      <i/>
      <sz val="10"/>
      <name val="Aptos"/>
    </font>
    <font>
      <b/>
      <sz val="10"/>
      <name val="Aptos"/>
    </font>
    <font>
      <sz val="10"/>
      <name val="Aptos"/>
    </font>
    <font>
      <b/>
      <sz val="12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3" zoomScale="115" zoomScaleNormal="115" workbookViewId="0">
      <selection activeCell="I8" sqref="I8"/>
    </sheetView>
  </sheetViews>
  <sheetFormatPr defaultRowHeight="14.25"/>
  <cols>
    <col min="1" max="1" width="12" customWidth="1"/>
    <col min="2" max="2" width="8" customWidth="1"/>
    <col min="3" max="3" width="6" customWidth="1"/>
    <col min="4" max="6" width="18" customWidth="1"/>
    <col min="7" max="9" width="20" customWidth="1"/>
  </cols>
  <sheetData>
    <row r="1" spans="1:9" ht="24" customHeight="1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>
      <c r="A2" s="8" t="s">
        <v>1</v>
      </c>
      <c r="B2" s="9"/>
      <c r="C2" s="9"/>
      <c r="D2" s="9"/>
      <c r="E2" s="9"/>
      <c r="F2" s="9"/>
      <c r="G2" s="9"/>
      <c r="H2" s="9"/>
      <c r="I2" s="9"/>
    </row>
    <row r="4" spans="1:9" ht="20.100000000000001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18" customHeight="1">
      <c r="A5" s="5">
        <v>46146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</row>
    <row r="6" spans="1:9" ht="18" customHeight="1">
      <c r="A6" s="5">
        <v>46146</v>
      </c>
      <c r="B6" s="4" t="s">
        <v>11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</row>
    <row r="7" spans="1:9" ht="18" customHeight="1">
      <c r="A7" s="5">
        <v>46147</v>
      </c>
      <c r="B7" s="4" t="s">
        <v>26</v>
      </c>
      <c r="C7" s="4" t="s">
        <v>12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</row>
    <row r="8" spans="1:9" ht="18" customHeight="1">
      <c r="A8" s="5">
        <v>46147</v>
      </c>
      <c r="B8" s="4" t="s">
        <v>26</v>
      </c>
      <c r="C8" s="4" t="s">
        <v>19</v>
      </c>
      <c r="D8" s="4" t="s">
        <v>33</v>
      </c>
      <c r="E8" s="4" t="s">
        <v>27</v>
      </c>
      <c r="F8" s="4" t="s">
        <v>34</v>
      </c>
      <c r="G8" s="4" t="s">
        <v>16</v>
      </c>
      <c r="H8" s="4" t="s">
        <v>35</v>
      </c>
      <c r="I8" s="4" t="s">
        <v>36</v>
      </c>
    </row>
    <row r="9" spans="1:9" ht="18" customHeight="1">
      <c r="A9" s="5">
        <v>46148</v>
      </c>
      <c r="B9" s="4" t="s">
        <v>37</v>
      </c>
      <c r="C9" s="4" t="s">
        <v>12</v>
      </c>
      <c r="D9" s="4" t="s">
        <v>14</v>
      </c>
      <c r="E9" s="4" t="s">
        <v>20</v>
      </c>
      <c r="F9" s="4" t="s">
        <v>38</v>
      </c>
      <c r="G9" s="4" t="s">
        <v>15</v>
      </c>
      <c r="H9" s="4" t="s">
        <v>22</v>
      </c>
      <c r="I9" s="4" t="s">
        <v>17</v>
      </c>
    </row>
    <row r="10" spans="1:9" ht="18" customHeight="1">
      <c r="A10" s="5">
        <v>46148</v>
      </c>
      <c r="B10" s="4" t="s">
        <v>37</v>
      </c>
      <c r="C10" s="4" t="s">
        <v>19</v>
      </c>
      <c r="D10" s="4" t="s">
        <v>13</v>
      </c>
      <c r="E10" s="4" t="s">
        <v>14</v>
      </c>
      <c r="F10" s="4" t="s">
        <v>21</v>
      </c>
      <c r="G10" s="4" t="s">
        <v>18</v>
      </c>
      <c r="H10" s="4" t="s">
        <v>23</v>
      </c>
      <c r="I10" s="4" t="s">
        <v>24</v>
      </c>
    </row>
    <row r="11" spans="1:9" ht="18" customHeight="1">
      <c r="A11" s="5">
        <v>46149</v>
      </c>
      <c r="B11" s="4" t="s">
        <v>39</v>
      </c>
      <c r="C11" s="4" t="s">
        <v>12</v>
      </c>
      <c r="D11" s="4" t="s">
        <v>28</v>
      </c>
      <c r="E11" s="4" t="s">
        <v>15</v>
      </c>
      <c r="F11" s="4" t="s">
        <v>25</v>
      </c>
      <c r="G11" s="4" t="s">
        <v>29</v>
      </c>
      <c r="H11" s="4" t="s">
        <v>34</v>
      </c>
      <c r="I11" s="4" t="s">
        <v>31</v>
      </c>
    </row>
    <row r="12" spans="1:9" ht="18" customHeight="1">
      <c r="A12" s="5">
        <v>46149</v>
      </c>
      <c r="B12" s="4" t="s">
        <v>39</v>
      </c>
      <c r="C12" s="4" t="s">
        <v>19</v>
      </c>
      <c r="D12" s="4" t="s">
        <v>27</v>
      </c>
      <c r="E12" s="4" t="s">
        <v>28</v>
      </c>
      <c r="F12" s="4" t="s">
        <v>30</v>
      </c>
      <c r="G12" s="4" t="s">
        <v>32</v>
      </c>
      <c r="H12" s="4" t="s">
        <v>16</v>
      </c>
      <c r="I12" s="4" t="s">
        <v>35</v>
      </c>
    </row>
    <row r="13" spans="1:9" ht="18" customHeight="1">
      <c r="A13" s="5">
        <v>46150</v>
      </c>
      <c r="B13" s="4" t="s">
        <v>40</v>
      </c>
      <c r="C13" s="4" t="s">
        <v>12</v>
      </c>
      <c r="D13" s="4" t="s">
        <v>20</v>
      </c>
      <c r="E13" s="4" t="s">
        <v>13</v>
      </c>
      <c r="F13" s="4" t="s">
        <v>36</v>
      </c>
      <c r="G13" s="4" t="s">
        <v>38</v>
      </c>
      <c r="H13" s="4" t="s">
        <v>15</v>
      </c>
      <c r="I13" s="4" t="s">
        <v>16</v>
      </c>
    </row>
    <row r="14" spans="1:9" ht="18" customHeight="1">
      <c r="A14" s="5">
        <v>46150</v>
      </c>
      <c r="B14" s="4" t="s">
        <v>40</v>
      </c>
      <c r="C14" s="4" t="s">
        <v>19</v>
      </c>
      <c r="D14" s="4" t="s">
        <v>14</v>
      </c>
      <c r="E14" s="4" t="s">
        <v>22</v>
      </c>
      <c r="F14" s="4" t="s">
        <v>17</v>
      </c>
      <c r="G14" s="4" t="s">
        <v>21</v>
      </c>
      <c r="H14" s="4" t="s">
        <v>18</v>
      </c>
      <c r="I14" s="4" t="s">
        <v>23</v>
      </c>
    </row>
    <row r="15" spans="1:9" ht="18" customHeight="1">
      <c r="A15" s="5">
        <v>46153</v>
      </c>
      <c r="B15" s="4" t="s">
        <v>11</v>
      </c>
      <c r="C15" s="4" t="s">
        <v>12</v>
      </c>
      <c r="D15" s="4" t="s">
        <v>33</v>
      </c>
      <c r="E15" s="4" t="s">
        <v>27</v>
      </c>
      <c r="F15" s="4" t="s">
        <v>24</v>
      </c>
      <c r="G15" s="4" t="s">
        <v>25</v>
      </c>
      <c r="H15" s="4" t="s">
        <v>29</v>
      </c>
      <c r="I15" s="4" t="s">
        <v>34</v>
      </c>
    </row>
    <row r="16" spans="1:9" ht="18" customHeight="1">
      <c r="A16" s="5">
        <v>46153</v>
      </c>
      <c r="B16" s="4" t="s">
        <v>11</v>
      </c>
      <c r="C16" s="4" t="s">
        <v>19</v>
      </c>
      <c r="D16" s="4" t="s">
        <v>28</v>
      </c>
      <c r="E16" s="4" t="s">
        <v>22</v>
      </c>
      <c r="F16" s="4" t="s">
        <v>31</v>
      </c>
      <c r="G16" s="4" t="s">
        <v>30</v>
      </c>
      <c r="H16" s="4" t="s">
        <v>32</v>
      </c>
      <c r="I16" s="4" t="s">
        <v>16</v>
      </c>
    </row>
    <row r="17" spans="1:9" ht="18" customHeight="1">
      <c r="A17" s="5">
        <v>46154</v>
      </c>
      <c r="B17" s="4" t="s">
        <v>26</v>
      </c>
      <c r="C17" s="4" t="s">
        <v>12</v>
      </c>
      <c r="D17" s="4" t="s">
        <v>13</v>
      </c>
      <c r="E17" s="4" t="s">
        <v>21</v>
      </c>
      <c r="F17" s="4" t="s">
        <v>35</v>
      </c>
      <c r="G17" s="4" t="s">
        <v>36</v>
      </c>
      <c r="H17" s="4" t="s">
        <v>38</v>
      </c>
      <c r="I17" s="4" t="s">
        <v>29</v>
      </c>
    </row>
    <row r="18" spans="1:9" ht="18" customHeight="1">
      <c r="A18" s="5">
        <v>46154</v>
      </c>
      <c r="B18" s="4" t="s">
        <v>26</v>
      </c>
      <c r="C18" s="4" t="s">
        <v>19</v>
      </c>
      <c r="D18" s="4" t="s">
        <v>14</v>
      </c>
      <c r="E18" s="4" t="s">
        <v>15</v>
      </c>
      <c r="F18" s="4" t="s">
        <v>18</v>
      </c>
      <c r="G18" s="4" t="s">
        <v>22</v>
      </c>
      <c r="H18" s="4" t="s">
        <v>25</v>
      </c>
      <c r="I18" s="4" t="s">
        <v>17</v>
      </c>
    </row>
    <row r="19" spans="1:9" ht="18" customHeight="1">
      <c r="A19" s="5">
        <v>46155</v>
      </c>
      <c r="B19" s="4" t="s">
        <v>37</v>
      </c>
      <c r="C19" s="4" t="s">
        <v>12</v>
      </c>
      <c r="D19" s="4" t="s">
        <v>27</v>
      </c>
      <c r="E19" s="4" t="s">
        <v>33</v>
      </c>
      <c r="F19" s="4" t="s">
        <v>23</v>
      </c>
      <c r="G19" s="4" t="s">
        <v>24</v>
      </c>
      <c r="H19" s="4" t="s">
        <v>25</v>
      </c>
      <c r="I19" s="4" t="s">
        <v>29</v>
      </c>
    </row>
    <row r="20" spans="1:9" ht="18" customHeight="1">
      <c r="A20" s="5">
        <v>46155</v>
      </c>
      <c r="B20" s="4" t="s">
        <v>37</v>
      </c>
      <c r="C20" s="4" t="s">
        <v>19</v>
      </c>
      <c r="D20" s="4" t="s">
        <v>28</v>
      </c>
      <c r="E20" s="4" t="s">
        <v>22</v>
      </c>
      <c r="F20" s="4" t="s">
        <v>32</v>
      </c>
      <c r="G20" s="4" t="s">
        <v>34</v>
      </c>
      <c r="H20" s="4" t="s">
        <v>30</v>
      </c>
      <c r="I20" s="4" t="s">
        <v>31</v>
      </c>
    </row>
    <row r="21" spans="1:9" ht="18" customHeight="1">
      <c r="A21" s="5">
        <v>46156</v>
      </c>
      <c r="B21" s="4" t="s">
        <v>39</v>
      </c>
      <c r="C21" s="4" t="s">
        <v>12</v>
      </c>
      <c r="D21" s="4" t="s">
        <v>14</v>
      </c>
      <c r="E21" s="4" t="s">
        <v>13</v>
      </c>
      <c r="F21" s="4" t="s">
        <v>16</v>
      </c>
      <c r="G21" s="4" t="s">
        <v>36</v>
      </c>
      <c r="H21" s="4" t="s">
        <v>38</v>
      </c>
      <c r="I21" s="4" t="s">
        <v>15</v>
      </c>
    </row>
    <row r="22" spans="1:9" ht="18" customHeight="1">
      <c r="A22" s="5">
        <v>46156</v>
      </c>
      <c r="B22" s="4" t="s">
        <v>39</v>
      </c>
      <c r="C22" s="4" t="s">
        <v>19</v>
      </c>
      <c r="D22" s="4" t="s">
        <v>20</v>
      </c>
      <c r="E22" s="4" t="s">
        <v>21</v>
      </c>
      <c r="F22" s="4" t="s">
        <v>35</v>
      </c>
      <c r="G22" s="4" t="s">
        <v>22</v>
      </c>
      <c r="H22" s="4" t="s">
        <v>25</v>
      </c>
      <c r="I22" s="4" t="s">
        <v>17</v>
      </c>
    </row>
    <row r="23" spans="1:9" ht="18" customHeight="1">
      <c r="A23" s="5">
        <v>46157</v>
      </c>
      <c r="B23" s="4" t="s">
        <v>40</v>
      </c>
      <c r="C23" s="4" t="s">
        <v>12</v>
      </c>
      <c r="D23" s="4" t="s">
        <v>27</v>
      </c>
      <c r="E23" s="4" t="s">
        <v>15</v>
      </c>
      <c r="F23" s="4" t="s">
        <v>18</v>
      </c>
      <c r="G23" s="4" t="s">
        <v>24</v>
      </c>
      <c r="H23" s="4" t="s">
        <v>25</v>
      </c>
      <c r="I23" s="4" t="s">
        <v>29</v>
      </c>
    </row>
    <row r="24" spans="1:9" ht="18" customHeight="1">
      <c r="A24" s="5">
        <v>46157</v>
      </c>
      <c r="B24" s="4" t="s">
        <v>40</v>
      </c>
      <c r="C24" s="4" t="s">
        <v>19</v>
      </c>
      <c r="D24" s="4" t="s">
        <v>33</v>
      </c>
      <c r="E24" s="4" t="s">
        <v>28</v>
      </c>
      <c r="F24" s="4" t="s">
        <v>23</v>
      </c>
      <c r="G24" s="4" t="s">
        <v>34</v>
      </c>
      <c r="H24" s="4" t="s">
        <v>30</v>
      </c>
      <c r="I24" s="4" t="s">
        <v>31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/>
  </sheetViews>
  <sheetFormatPr defaultRowHeight="14.25"/>
  <cols>
    <col min="1" max="1" width="22" customWidth="1"/>
    <col min="2" max="5" width="12" customWidth="1"/>
    <col min="7" max="7" width="22" customWidth="1"/>
    <col min="8" max="10" width="14" customWidth="1"/>
  </cols>
  <sheetData>
    <row r="1" spans="1:10" ht="21">
      <c r="A1" s="10" t="s">
        <v>41</v>
      </c>
      <c r="B1" s="9"/>
      <c r="C1" s="9"/>
      <c r="D1" s="9"/>
      <c r="E1" s="9"/>
      <c r="G1" s="11" t="s">
        <v>42</v>
      </c>
      <c r="H1" s="12"/>
      <c r="I1" s="12"/>
      <c r="J1" s="12"/>
    </row>
    <row r="2" spans="1:10" ht="18" customHeight="1">
      <c r="A2" s="9" t="s">
        <v>43</v>
      </c>
      <c r="B2" s="9"/>
      <c r="C2" s="9"/>
      <c r="D2" s="9"/>
      <c r="E2" s="9"/>
      <c r="G2" s="3" t="s">
        <v>44</v>
      </c>
      <c r="H2" s="3">
        <v>20</v>
      </c>
    </row>
    <row r="3" spans="1:10" ht="18" customHeight="1">
      <c r="G3" s="3" t="s">
        <v>45</v>
      </c>
      <c r="H3" s="3">
        <f>SUM(B5:B27)</f>
        <v>20</v>
      </c>
    </row>
    <row r="4" spans="1:10" ht="18" customHeight="1">
      <c r="A4" s="1" t="s">
        <v>46</v>
      </c>
      <c r="B4" s="1" t="s">
        <v>5</v>
      </c>
      <c r="C4" s="1" t="s">
        <v>6</v>
      </c>
      <c r="D4" s="1" t="s">
        <v>7</v>
      </c>
      <c r="E4" s="1" t="s">
        <v>47</v>
      </c>
      <c r="G4" s="3" t="s">
        <v>48</v>
      </c>
      <c r="H4" s="3">
        <f>SUM(C5:C27)</f>
        <v>20</v>
      </c>
    </row>
    <row r="5" spans="1:10" ht="18" customHeight="1">
      <c r="A5" s="3" t="s">
        <v>13</v>
      </c>
      <c r="B5" s="3">
        <f>COUNTIF('Escala Final'!D$5:D$24,A5)</f>
        <v>3</v>
      </c>
      <c r="C5" s="3">
        <f>COUNTIF('Escala Final'!E$5:E$24,A5)</f>
        <v>2</v>
      </c>
      <c r="D5" s="3">
        <f>COUNTIF('Escala Final'!F$5:F$24,A5)</f>
        <v>0</v>
      </c>
      <c r="E5" s="3">
        <f t="shared" ref="E5:E27" si="0">SUM(B5:D5)</f>
        <v>5</v>
      </c>
      <c r="G5" s="3" t="s">
        <v>49</v>
      </c>
      <c r="H5" s="3">
        <f>SUM(D5:D27)</f>
        <v>20</v>
      </c>
    </row>
    <row r="6" spans="1:10" ht="18" customHeight="1">
      <c r="A6" s="3" t="s">
        <v>14</v>
      </c>
      <c r="B6" s="3">
        <f>COUNTIF('Escala Final'!D$5:D$24,A6)</f>
        <v>4</v>
      </c>
      <c r="C6" s="3">
        <f>COUNTIF('Escala Final'!E$5:E$24,A6)</f>
        <v>2</v>
      </c>
      <c r="D6" s="3">
        <f>COUNTIF('Escala Final'!F$5:F$24,A6)</f>
        <v>0</v>
      </c>
      <c r="E6" s="3">
        <f t="shared" si="0"/>
        <v>6</v>
      </c>
    </row>
    <row r="7" spans="1:10" ht="18" customHeight="1">
      <c r="A7" s="3" t="s">
        <v>15</v>
      </c>
      <c r="B7" s="3">
        <f>COUNTIF('Escala Final'!D$5:D$24,A7)</f>
        <v>0</v>
      </c>
      <c r="C7" s="3">
        <f>COUNTIF('Escala Final'!E$5:E$24,A7)</f>
        <v>3</v>
      </c>
      <c r="D7" s="3">
        <f>COUNTIF('Escala Final'!F$5:F$24,A7)</f>
        <v>1</v>
      </c>
      <c r="E7" s="3">
        <f t="shared" si="0"/>
        <v>4</v>
      </c>
      <c r="G7" s="11" t="s">
        <v>50</v>
      </c>
      <c r="H7" s="12"/>
      <c r="I7" s="12"/>
      <c r="J7" s="12"/>
    </row>
    <row r="8" spans="1:10" ht="18" customHeight="1">
      <c r="A8" s="3" t="s">
        <v>16</v>
      </c>
      <c r="B8" s="3">
        <f>COUNTIF('Escala Final'!D$5:D$24,A8)</f>
        <v>0</v>
      </c>
      <c r="C8" s="3">
        <f>COUNTIF('Escala Final'!E$5:E$24,A8)</f>
        <v>0</v>
      </c>
      <c r="D8" s="3">
        <f>COUNTIF('Escala Final'!F$5:F$24,A8)</f>
        <v>1</v>
      </c>
      <c r="E8" s="3">
        <f t="shared" si="0"/>
        <v>1</v>
      </c>
      <c r="G8" s="1" t="s">
        <v>46</v>
      </c>
      <c r="H8" s="1" t="s">
        <v>51</v>
      </c>
      <c r="I8" s="1" t="s">
        <v>47</v>
      </c>
      <c r="J8" s="1" t="s">
        <v>52</v>
      </c>
    </row>
    <row r="9" spans="1:10" ht="18" customHeight="1">
      <c r="A9" s="3" t="s">
        <v>17</v>
      </c>
      <c r="B9" s="3">
        <f>COUNTIF('Escala Final'!D$5:D$24,A9)</f>
        <v>0</v>
      </c>
      <c r="C9" s="3">
        <f>COUNTIF('Escala Final'!E$5:E$24,A9)</f>
        <v>0</v>
      </c>
      <c r="D9" s="3">
        <f>COUNTIF('Escala Final'!F$5:F$24,A9)</f>
        <v>1</v>
      </c>
      <c r="E9" s="3">
        <f t="shared" si="0"/>
        <v>1</v>
      </c>
      <c r="G9" s="3" t="s">
        <v>14</v>
      </c>
      <c r="H9" s="3">
        <f>COUNTIF(A$5:A$27,"Cel Ivanete")</f>
        <v>1</v>
      </c>
      <c r="I9" s="3" t="e">
        <f ca="1">_xludf.XLOOKUP(G9,A$5:A$27,E$5:E$27,"")</f>
        <v>#NAME?</v>
      </c>
      <c r="J9" s="3" t="e">
        <f ca="1">_xludf.XLOOKUP(G9,A$5:A$27,B$5:B$27,"")</f>
        <v>#NAME?</v>
      </c>
    </row>
    <row r="10" spans="1:10" ht="18" customHeight="1">
      <c r="A10" s="3" t="s">
        <v>18</v>
      </c>
      <c r="B10" s="3">
        <f>COUNTIF('Escala Final'!D$5:D$24,A10)</f>
        <v>0</v>
      </c>
      <c r="C10" s="3">
        <f>COUNTIF('Escala Final'!E$5:E$24,A10)</f>
        <v>0</v>
      </c>
      <c r="D10" s="3">
        <f>COUNTIF('Escala Final'!F$5:F$24,A10)</f>
        <v>2</v>
      </c>
      <c r="E10" s="3">
        <f t="shared" si="0"/>
        <v>2</v>
      </c>
      <c r="G10" s="3" t="s">
        <v>13</v>
      </c>
      <c r="H10" s="3">
        <f>COUNTIF(A$5:A$27,"Cap Jorge Luiz")</f>
        <v>1</v>
      </c>
      <c r="I10" s="3" t="e">
        <f ca="1">_xludf.XLOOKUP(G10,A$5:A$27,E$5:E$27,"")</f>
        <v>#NAME?</v>
      </c>
      <c r="J10" s="3" t="e">
        <f ca="1">_xludf.XLOOKUP(G10,A$5:A$27,B$5:B$27,"")</f>
        <v>#NAME?</v>
      </c>
    </row>
    <row r="11" spans="1:10" ht="18" customHeight="1">
      <c r="A11" s="3" t="s">
        <v>20</v>
      </c>
      <c r="B11" s="3">
        <f>COUNTIF('Escala Final'!D$5:D$24,A11)</f>
        <v>3</v>
      </c>
      <c r="C11" s="3">
        <f>COUNTIF('Escala Final'!E$5:E$24,A11)</f>
        <v>1</v>
      </c>
      <c r="D11" s="3">
        <f>COUNTIF('Escala Final'!F$5:F$24,A11)</f>
        <v>0</v>
      </c>
      <c r="E11" s="3">
        <f t="shared" si="0"/>
        <v>4</v>
      </c>
      <c r="G11" s="3" t="s">
        <v>20</v>
      </c>
      <c r="H11" s="3">
        <f>COUNTIF(A$5:A$27,"Ten Cecília")</f>
        <v>1</v>
      </c>
      <c r="I11" s="3" t="e">
        <f ca="1">_xludf.XLOOKUP(G11,A$5:A$27,E$5:E$27,"")</f>
        <v>#NAME?</v>
      </c>
      <c r="J11" s="3" t="e">
        <f ca="1">_xludf.XLOOKUP(G11,A$5:A$27,B$5:B$27,"")</f>
        <v>#NAME?</v>
      </c>
    </row>
    <row r="12" spans="1:10" ht="18" customHeight="1">
      <c r="A12" s="3" t="s">
        <v>21</v>
      </c>
      <c r="B12" s="3">
        <f>COUNTIF('Escala Final'!D$5:D$24,A12)</f>
        <v>0</v>
      </c>
      <c r="C12" s="3">
        <f>COUNTIF('Escala Final'!E$5:E$24,A12)</f>
        <v>3</v>
      </c>
      <c r="D12" s="3">
        <f>COUNTIF('Escala Final'!F$5:F$24,A12)</f>
        <v>1</v>
      </c>
      <c r="E12" s="3">
        <f t="shared" si="0"/>
        <v>4</v>
      </c>
      <c r="G12" s="3" t="s">
        <v>33</v>
      </c>
      <c r="H12" s="3">
        <f>COUNTIF(A$5:A$27,"Maj Chucre")</f>
        <v>1</v>
      </c>
      <c r="I12" s="3" t="e">
        <f ca="1">_xludf.XLOOKUP(G12,A$5:A$27,E$5:E$27,"")</f>
        <v>#NAME?</v>
      </c>
      <c r="J12" s="3" t="e">
        <f ca="1">_xludf.XLOOKUP(G12,A$5:A$27,B$5:B$27,"")</f>
        <v>#NAME?</v>
      </c>
    </row>
    <row r="13" spans="1:10" ht="18" customHeight="1">
      <c r="A13" s="3" t="s">
        <v>22</v>
      </c>
      <c r="B13" s="3">
        <f>COUNTIF('Escala Final'!D$5:D$24,A13)</f>
        <v>0</v>
      </c>
      <c r="C13" s="3">
        <f>COUNTIF('Escala Final'!E$5:E$24,A13)</f>
        <v>3</v>
      </c>
      <c r="D13" s="3">
        <f>COUNTIF('Escala Final'!F$5:F$24,A13)</f>
        <v>1</v>
      </c>
      <c r="E13" s="3">
        <f t="shared" si="0"/>
        <v>4</v>
      </c>
      <c r="G13" s="3" t="s">
        <v>27</v>
      </c>
      <c r="H13" s="3">
        <f>COUNTIF(A$5:A$27,"Sgt Fernando")</f>
        <v>1</v>
      </c>
      <c r="I13" s="3" t="e">
        <f ca="1">_xludf.XLOOKUP(G13,A$5:A$27,E$5:E$27,"")</f>
        <v>#NAME?</v>
      </c>
      <c r="J13" s="3" t="e">
        <f ca="1">_xludf.XLOOKUP(G13,A$5:A$27,B$5:B$27,"")</f>
        <v>#NAME?</v>
      </c>
    </row>
    <row r="14" spans="1:10" ht="18" customHeight="1">
      <c r="A14" s="3" t="s">
        <v>23</v>
      </c>
      <c r="B14" s="3">
        <f>COUNTIF('Escala Final'!D$5:D$24,A14)</f>
        <v>0</v>
      </c>
      <c r="C14" s="3">
        <f>COUNTIF('Escala Final'!E$5:E$24,A14)</f>
        <v>0</v>
      </c>
      <c r="D14" s="3">
        <f>COUNTIF('Escala Final'!F$5:F$24,A14)</f>
        <v>2</v>
      </c>
      <c r="E14" s="3">
        <f t="shared" si="0"/>
        <v>2</v>
      </c>
      <c r="G14" t="s">
        <v>21</v>
      </c>
    </row>
    <row r="15" spans="1:10" ht="18" customHeight="1">
      <c r="A15" s="3" t="s">
        <v>24</v>
      </c>
      <c r="B15" s="3">
        <f>COUNTIF('Escala Final'!D$5:D$24,A15)</f>
        <v>0</v>
      </c>
      <c r="C15" s="3">
        <f>COUNTIF('Escala Final'!E$5:E$24,A15)</f>
        <v>0</v>
      </c>
      <c r="D15" s="3">
        <f>COUNTIF('Escala Final'!F$5:F$24,A15)</f>
        <v>1</v>
      </c>
      <c r="E15" s="3">
        <f t="shared" si="0"/>
        <v>1</v>
      </c>
    </row>
    <row r="16" spans="1:10" ht="18" customHeight="1">
      <c r="A16" s="3" t="s">
        <v>25</v>
      </c>
      <c r="B16" s="3">
        <f>COUNTIF('Escala Final'!D$5:D$24,A16)</f>
        <v>0</v>
      </c>
      <c r="C16" s="3">
        <f>COUNTIF('Escala Final'!E$5:E$24,A16)</f>
        <v>0</v>
      </c>
      <c r="D16" s="3">
        <f>COUNTIF('Escala Final'!F$5:F$24,A16)</f>
        <v>1</v>
      </c>
      <c r="E16" s="3">
        <f t="shared" si="0"/>
        <v>1</v>
      </c>
    </row>
    <row r="17" spans="1:5" ht="18" customHeight="1">
      <c r="A17" s="3" t="s">
        <v>27</v>
      </c>
      <c r="B17" s="3">
        <f>COUNTIF('Escala Final'!D$5:D$24,A17)</f>
        <v>4</v>
      </c>
      <c r="C17" s="3">
        <f>COUNTIF('Escala Final'!E$5:E$24,A17)</f>
        <v>2</v>
      </c>
      <c r="D17" s="3">
        <f>COUNTIF('Escala Final'!F$5:F$24,A17)</f>
        <v>0</v>
      </c>
      <c r="E17" s="3">
        <f t="shared" si="0"/>
        <v>6</v>
      </c>
    </row>
    <row r="18" spans="1:5" ht="18" customHeight="1">
      <c r="A18" s="3" t="s">
        <v>28</v>
      </c>
      <c r="B18" s="3">
        <f>COUNTIF('Escala Final'!D$5:D$24,A18)</f>
        <v>3</v>
      </c>
      <c r="C18" s="3">
        <f>COUNTIF('Escala Final'!E$5:E$24,A18)</f>
        <v>3</v>
      </c>
      <c r="D18" s="3">
        <f>COUNTIF('Escala Final'!F$5:F$24,A18)</f>
        <v>0</v>
      </c>
      <c r="E18" s="3">
        <f t="shared" si="0"/>
        <v>6</v>
      </c>
    </row>
    <row r="19" spans="1:5" ht="18" customHeight="1">
      <c r="A19" s="3" t="s">
        <v>29</v>
      </c>
      <c r="B19" s="3">
        <f>COUNTIF('Escala Final'!D$5:D$24,A19)</f>
        <v>0</v>
      </c>
      <c r="C19" s="3">
        <f>COUNTIF('Escala Final'!E$5:E$24,A19)</f>
        <v>0</v>
      </c>
      <c r="D19" s="3">
        <f>COUNTIF('Escala Final'!F$5:F$24,A19)</f>
        <v>1</v>
      </c>
      <c r="E19" s="3">
        <f t="shared" si="0"/>
        <v>1</v>
      </c>
    </row>
    <row r="20" spans="1:5" ht="18" customHeight="1">
      <c r="A20" s="3" t="s">
        <v>30</v>
      </c>
      <c r="B20" s="3">
        <f>COUNTIF('Escala Final'!D$5:D$24,A20)</f>
        <v>0</v>
      </c>
      <c r="C20" s="3">
        <f>COUNTIF('Escala Final'!E$5:E$24,A20)</f>
        <v>0</v>
      </c>
      <c r="D20" s="3">
        <f>COUNTIF('Escala Final'!F$5:F$24,A20)</f>
        <v>1</v>
      </c>
      <c r="E20" s="3">
        <f t="shared" si="0"/>
        <v>1</v>
      </c>
    </row>
    <row r="21" spans="1:5" ht="18" customHeight="1">
      <c r="A21" s="3" t="s">
        <v>31</v>
      </c>
      <c r="B21" s="3">
        <f>COUNTIF('Escala Final'!D$5:D$24,A21)</f>
        <v>0</v>
      </c>
      <c r="C21" s="3">
        <f>COUNTIF('Escala Final'!E$5:E$24,A21)</f>
        <v>0</v>
      </c>
      <c r="D21" s="3">
        <f>COUNTIF('Escala Final'!F$5:F$24,A21)</f>
        <v>1</v>
      </c>
      <c r="E21" s="3">
        <f t="shared" si="0"/>
        <v>1</v>
      </c>
    </row>
    <row r="22" spans="1:5" ht="18" customHeight="1">
      <c r="A22" s="3" t="s">
        <v>32</v>
      </c>
      <c r="B22" s="3">
        <f>COUNTIF('Escala Final'!D$5:D$24,A22)</f>
        <v>0</v>
      </c>
      <c r="C22" s="3">
        <f>COUNTIF('Escala Final'!E$5:E$24,A22)</f>
        <v>0</v>
      </c>
      <c r="D22" s="3">
        <f>COUNTIF('Escala Final'!F$5:F$24,A22)</f>
        <v>1</v>
      </c>
      <c r="E22" s="3">
        <f t="shared" si="0"/>
        <v>1</v>
      </c>
    </row>
    <row r="23" spans="1:5" ht="18" customHeight="1">
      <c r="A23" s="3" t="s">
        <v>33</v>
      </c>
      <c r="B23" s="3">
        <f>COUNTIF('Escala Final'!D$5:D$24,A23)</f>
        <v>3</v>
      </c>
      <c r="C23" s="3">
        <f>COUNTIF('Escala Final'!E$5:E$24,A23)</f>
        <v>1</v>
      </c>
      <c r="D23" s="3">
        <f>COUNTIF('Escala Final'!F$5:F$24,A23)</f>
        <v>0</v>
      </c>
      <c r="E23" s="3">
        <f t="shared" si="0"/>
        <v>4</v>
      </c>
    </row>
    <row r="24" spans="1:5" ht="18" customHeight="1">
      <c r="A24" s="3" t="s">
        <v>34</v>
      </c>
      <c r="B24" s="3">
        <f>COUNTIF('Escala Final'!D$5:D$24,A24)</f>
        <v>0</v>
      </c>
      <c r="C24" s="3">
        <f>COUNTIF('Escala Final'!E$5:E$24,A24)</f>
        <v>0</v>
      </c>
      <c r="D24" s="3">
        <f>COUNTIF('Escala Final'!F$5:F$24,A24)</f>
        <v>1</v>
      </c>
      <c r="E24" s="3">
        <f t="shared" si="0"/>
        <v>1</v>
      </c>
    </row>
    <row r="25" spans="1:5" ht="18" customHeight="1">
      <c r="A25" s="3" t="s">
        <v>35</v>
      </c>
      <c r="B25" s="3">
        <f>COUNTIF('Escala Final'!D$5:D$24,A25)</f>
        <v>0</v>
      </c>
      <c r="C25" s="3">
        <f>COUNTIF('Escala Final'!E$5:E$24,A25)</f>
        <v>0</v>
      </c>
      <c r="D25" s="3">
        <f>COUNTIF('Escala Final'!F$5:F$24,A25)</f>
        <v>2</v>
      </c>
      <c r="E25" s="3">
        <f t="shared" si="0"/>
        <v>2</v>
      </c>
    </row>
    <row r="26" spans="1:5" ht="18" customHeight="1">
      <c r="A26" s="3" t="s">
        <v>36</v>
      </c>
      <c r="B26" s="3">
        <f>COUNTIF('Escala Final'!D$5:D$24,A26)</f>
        <v>0</v>
      </c>
      <c r="C26" s="3">
        <f>COUNTIF('Escala Final'!E$5:E$24,A26)</f>
        <v>0</v>
      </c>
      <c r="D26" s="3">
        <f>COUNTIF('Escala Final'!F$5:F$24,A26)</f>
        <v>1</v>
      </c>
      <c r="E26" s="3">
        <f t="shared" si="0"/>
        <v>1</v>
      </c>
    </row>
    <row r="27" spans="1:5" ht="18" customHeight="1">
      <c r="A27" s="3" t="s">
        <v>38</v>
      </c>
      <c r="B27" s="3">
        <f>COUNTIF('Escala Final'!D$5:D$24,A27)</f>
        <v>0</v>
      </c>
      <c r="C27" s="3">
        <f>COUNTIF('Escala Final'!E$5:E$24,A27)</f>
        <v>0</v>
      </c>
      <c r="D27" s="3">
        <f>COUNTIF('Escala Final'!F$5:F$24,A27)</f>
        <v>1</v>
      </c>
      <c r="E27" s="3">
        <f t="shared" si="0"/>
        <v>1</v>
      </c>
    </row>
  </sheetData>
  <mergeCells count="4">
    <mergeCell ref="A1:E1"/>
    <mergeCell ref="A2:E2"/>
    <mergeCell ref="G1:J1"/>
    <mergeCell ref="G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Escala Final</vt:lpstr>
      <vt:lpstr>Estatisticas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Francielton amador</cp:lastModifiedBy>
  <dcterms:modified xsi:type="dcterms:W3CDTF">2026-04-22T22:40:13Z</dcterms:modified>
</cp:coreProperties>
</file>