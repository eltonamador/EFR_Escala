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b2f9d12e3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Final" sheetId="1" r:id="R9dc0cc3188dc424d"/>
    <x:sheet xmlns:r="http://schemas.openxmlformats.org/officeDocument/2006/relationships" name="Estatisticas" sheetId="2" r:id="R573d64a6a336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6"/>
      <x:name val="Aptos"/>
    </x:font>
    <x:font>
      <x:i/>
      <x:sz val="10"/>
      <x:name val="Aptos"/>
    </x:font>
    <x:font>
      <x:b/>
      <x:sz val="10"/>
      <x:name val="Aptos"/>
    </x:font>
    <x:font>
      <x:sz val="10"/>
      <x:name val="Aptos"/>
    </x:font>
    <x:font>
      <x:b/>
      <x:sz val="12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0" borderId="0" xfId="0" applyNumberFormat="1" applyFont="1" applyFill="0" applyBorder="1"/>
    <x:xf numFmtId="0" fontId="1" borderId="1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0" borderId="1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0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0" borderId="1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1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3" borderId="1" xfId="0" applyNumberFormat="1" applyFont="1" applyFill="0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borderId="0" xfId="0" applyNumberFormat="1" applyFont="1" applyFill="0" applyBorder="1" applyAlignment="1">
      <x:alignment vertical="center"/>
    </x:xf>
    <x:xf numFmtId="0" fontId="4" borderId="0" xfId="0" applyNumberFormat="1" applyFont="1" applyFill="0" applyBorder="1" applyAlignment="1">
      <x:alignment vertical="center"/>
    </x:xf>
    <x:xf numFmtId="200" fontId="4" borderId="1" xfId="0" applyNumberFormat="1" applyFont="1" applyFill="0" applyBorder="1" applyAlignment="1">
      <x:alignment vertical="center"/>
    </x:xf>
    <x:xf numFmtId="0" fontId="4" borderId="1" xfId="0" applyNumberFormat="1" applyFont="1" applyFill="0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borderId="0" xfId="0" applyNumberFormat="1" applyFont="1" applyFill="0" applyBorder="1"/>
    <x:xf numFmtId="0" fontId="5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a137b35134f43" /><Relationship Type="http://schemas.openxmlformats.org/officeDocument/2006/relationships/theme" Target="/xl/theme/theme1.xml" Id="R14f5f6aac6614a64" /><Relationship Type="http://schemas.openxmlformats.org/officeDocument/2006/relationships/sharedStrings" Target="/xl/sharedStrings.xml" Id="Re611eb66b9fc4b16" /><Relationship Type="http://schemas.openxmlformats.org/officeDocument/2006/relationships/worksheet" Target="/xl/worksheets/sheet1.xml" Id="R9dc0cc3188dc424d" /><Relationship Type="http://schemas.openxmlformats.org/officeDocument/2006/relationships/worksheet" Target="/xl/worksheets/sheet2.xml" Id="R573d64a6a336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12" t="str">
        <x:v>ESCALA CONSOLIDADA - FUNÇÕES QUENTES E APOIO</x:v>
      </x:c>
      <x:c r="B1" s="13"/>
      <x:c r="C1" s="13"/>
      <x:c r="D1" s="13"/>
      <x:c r="E1" s="13"/>
      <x:c r="F1" s="13"/>
      <x:c r="G1" s="13"/>
      <x:c r="H1" s="13"/>
      <x:c r="I1" s="13"/>
    </x:row>
    <x:row r="2" ht="18" customHeight="1">
      <x:c r="A2" s="18" t="str">
        <x:v>Período: 04/05/2026 a 15/05/2026 | Exercícios 1º e 2º</x:v>
      </x:c>
      <x:c r="B2" s="19"/>
      <x:c r="C2" s="19"/>
      <x:c r="D2" s="19"/>
      <x:c r="E2" s="19"/>
      <x:c r="F2" s="19"/>
      <x:c r="G2" s="19"/>
      <x:c r="H2" s="19"/>
      <x:c r="I2" s="19"/>
    </x:row>
    <x:row r="4" ht="20" customHeight="1">
      <x:c r="A4" s="28" t="str">
        <x:v>Data</x:v>
      </x:c>
      <x:c r="B4" s="28" t="str">
        <x:v>Dia</x:v>
      </x:c>
      <x:c r="C4" s="28" t="str">
        <x:v>EX</x:v>
      </x:c>
      <x:c r="D4" s="28" t="str">
        <x:v>Chefe</x:v>
      </x:c>
      <x:c r="E4" s="28" t="str">
        <x:v>Auxiliar</x:v>
      </x:c>
      <x:c r="F4" s="28" t="str">
        <x:v>Segurança</x:v>
      </x:c>
      <x:c r="G4" s="28" t="str">
        <x:v>Condições</x:v>
      </x:c>
      <x:c r="H4" s="28" t="str">
        <x:v>Monitor 1</x:v>
      </x:c>
      <x:c r="I4" s="28" t="str">
        <x:v>Monitor 2</x:v>
      </x:c>
    </x:row>
    <x:row r="5" ht="18" customHeight="1">
      <x:c r="A5" s="36" t="n">
        <x:v>46146</x:v>
      </x:c>
      <x:c r="B5" s="37" t="str">
        <x:v>Seg</x:v>
      </x:c>
      <x:c r="C5" s="37" t="str">
        <x:v>1º</x:v>
      </x:c>
      <x:c r="D5" s="37" t="str">
        <x:v>Cel Ivanete</x:v>
      </x:c>
      <x:c r="E5" s="37" t="str">
        <x:v>Cap Amador</x:v>
      </x:c>
      <x:c r="F5" s="37" t="str">
        <x:v>Sgt Cristiano</x:v>
      </x:c>
      <x:c r="G5" s="37" t="str">
        <x:v>SD Carlos Monteiro</x:v>
      </x:c>
      <x:c r="H5" s="37" t="str">
        <x:v>SD Axl</x:v>
      </x:c>
      <x:c r="I5" s="37" t="str">
        <x:v>SD Raíssa</x:v>
      </x:c>
    </x:row>
    <x:row r="6" ht="18" customHeight="1">
      <x:c r="A6" s="36" t="n">
        <x:v>46146</x:v>
      </x:c>
      <x:c r="B6" s="37" t="str">
        <x:v>Seg</x:v>
      </x:c>
      <x:c r="C6" s="37" t="str">
        <x:v>2º</x:v>
      </x:c>
      <x:c r="D6" s="37" t="str">
        <x:v>Cap Jorge Luiz</x:v>
      </x:c>
      <x:c r="E6" s="37" t="str">
        <x:v>Sgt Fernando</x:v>
      </x:c>
      <x:c r="F6" s="37" t="str">
        <x:v>Sgt Santiago</x:v>
      </x:c>
      <x:c r="G6" s="37" t="str">
        <x:v>Sgt S. Souza</x:v>
      </x:c>
      <x:c r="H6" s="37" t="str">
        <x:v>SD Elâine</x:v>
      </x:c>
      <x:c r="I6" s="37" t="str">
        <x:v>SD Jaffer</x:v>
      </x:c>
    </x:row>
    <x:row r="7" ht="18" customHeight="1">
      <x:c r="A7" s="36" t="n">
        <x:v>46147</x:v>
      </x:c>
      <x:c r="B7" s="37" t="str">
        <x:v>Ter</x:v>
      </x:c>
      <x:c r="C7" s="37" t="str">
        <x:v>1º</x:v>
      </x:c>
      <x:c r="D7" s="37" t="str">
        <x:v>Maj Chucre</x:v>
      </x:c>
      <x:c r="E7" s="37" t="str">
        <x:v>Cap Charlys</x:v>
      </x:c>
      <x:c r="F7" s="37" t="str">
        <x:v>SD R. dos Santos</x:v>
      </x:c>
      <x:c r="G7" s="37" t="str">
        <x:v>SD Thales</x:v>
      </x:c>
      <x:c r="H7" s="37" t="str">
        <x:v>SD Jorge Lucas</x:v>
      </x:c>
      <x:c r="I7" s="37" t="str">
        <x:v>SD Mateus Felipe</x:v>
      </x:c>
    </x:row>
    <x:row r="8" ht="18" customHeight="1">
      <x:c r="A8" s="36" t="n">
        <x:v>46147</x:v>
      </x:c>
      <x:c r="B8" s="37" t="str">
        <x:v>Ter</x:v>
      </x:c>
      <x:c r="C8" s="37" t="str">
        <x:v>2º</x:v>
      </x:c>
      <x:c r="D8" s="37" t="str">
        <x:v>Ten Cecília</x:v>
      </x:c>
      <x:c r="E8" s="37" t="str">
        <x:v>Maj Chucre</x:v>
      </x:c>
      <x:c r="F8" s="37" t="str">
        <x:v>SD Raíssa</x:v>
      </x:c>
      <x:c r="G8" s="37" t="str">
        <x:v>SD Carlos Monteiro</x:v>
      </x:c>
      <x:c r="H8" s="37" t="str">
        <x:v>SD Nicoly</x:v>
      </x:c>
      <x:c r="I8" s="37" t="str">
        <x:v>SD Nunes</x:v>
      </x:c>
    </x:row>
    <x:row r="9" ht="18" customHeight="1">
      <x:c r="A9" s="36" t="n">
        <x:v>46148</x:v>
      </x:c>
      <x:c r="B9" s="37" t="str">
        <x:v>Qua</x:v>
      </x:c>
      <x:c r="C9" s="37" t="str">
        <x:v>1º</x:v>
      </x:c>
      <x:c r="D9" s="37" t="str">
        <x:v>Cap Amador</x:v>
      </x:c>
      <x:c r="E9" s="37" t="str">
        <x:v>Cap Jorge Luiz</x:v>
      </x:c>
      <x:c r="F9" s="37" t="str">
        <x:v>SD Axl</x:v>
      </x:c>
      <x:c r="G9" s="37" t="str">
        <x:v>Sgt Cristiano</x:v>
      </x:c>
      <x:c r="H9" s="37" t="str">
        <x:v>SD Nicoly</x:v>
      </x:c>
      <x:c r="I9" s="37" t="str">
        <x:v>SD Nunes</x:v>
      </x:c>
    </x:row>
    <x:row r="10" ht="18" customHeight="1">
      <x:c r="A10" s="36" t="n">
        <x:v>46148</x:v>
      </x:c>
      <x:c r="B10" s="37" t="str">
        <x:v>Qua</x:v>
      </x:c>
      <x:c r="C10" s="37" t="str">
        <x:v>2º</x:v>
      </x:c>
      <x:c r="D10" s="37" t="str">
        <x:v>Cel Ivanete</x:v>
      </x:c>
      <x:c r="E10" s="37" t="str">
        <x:v>Cap Amador</x:v>
      </x:c>
      <x:c r="F10" s="37" t="str">
        <x:v>Sgt Fernando</x:v>
      </x:c>
      <x:c r="G10" s="37" t="str">
        <x:v>Sgt Eline</x:v>
      </x:c>
      <x:c r="H10" s="37" t="str">
        <x:v>SD Mateus Felipe</x:v>
      </x:c>
      <x:c r="I10" s="37" t="str">
        <x:v>SD Elâine</x:v>
      </x:c>
    </x:row>
    <x:row r="11" ht="18" customHeight="1">
      <x:c r="A11" s="36" t="n">
        <x:v>46149</x:v>
      </x:c>
      <x:c r="B11" s="37" t="str">
        <x:v>Qui</x:v>
      </x:c>
      <x:c r="C11" s="37" t="str">
        <x:v>1º</x:v>
      </x:c>
      <x:c r="D11" s="37" t="str">
        <x:v>Cap Charlys</x:v>
      </x:c>
      <x:c r="E11" s="37" t="str">
        <x:v>Sgt Cristiano</x:v>
      </x:c>
      <x:c r="F11" s="37" t="str">
        <x:v>SD Jaffer</x:v>
      </x:c>
      <x:c r="G11" s="37" t="str">
        <x:v>SD R. dos Santos</x:v>
      </x:c>
      <x:c r="H11" s="37" t="str">
        <x:v>SD Raíssa</x:v>
      </x:c>
      <x:c r="I11" s="37" t="str">
        <x:v>SD Jorge Lucas</x:v>
      </x:c>
    </x:row>
    <x:row r="12" ht="18" customHeight="1">
      <x:c r="A12" s="36" t="n">
        <x:v>46149</x:v>
      </x:c>
      <x:c r="B12" s="37" t="str">
        <x:v>Qui</x:v>
      </x:c>
      <x:c r="C12" s="37" t="str">
        <x:v>2º</x:v>
      </x:c>
      <x:c r="D12" s="37" t="str">
        <x:v>Maj Chucre</x:v>
      </x:c>
      <x:c r="E12" s="37" t="str">
        <x:v>Cap Charlys</x:v>
      </x:c>
      <x:c r="F12" s="37" t="str">
        <x:v>SD Thales</x:v>
      </x:c>
      <x:c r="G12" s="37" t="str">
        <x:v>SD Mateus Felipe</x:v>
      </x:c>
      <x:c r="H12" s="37" t="str">
        <x:v>SD Carlos Monteiro</x:v>
      </x:c>
      <x:c r="I12" s="37" t="str">
        <x:v>SD Nicoly</x:v>
      </x:c>
    </x:row>
    <x:row r="13" ht="18" customHeight="1">
      <x:c r="A13" s="36" t="n">
        <x:v>46150</x:v>
      </x:c>
      <x:c r="B13" s="37" t="str">
        <x:v>Sex</x:v>
      </x:c>
      <x:c r="C13" s="37" t="str">
        <x:v>1º</x:v>
      </x:c>
      <x:c r="D13" s="37" t="str">
        <x:v>Cap Jorge Luiz</x:v>
      </x:c>
      <x:c r="E13" s="37" t="str">
        <x:v>Cel Ivanete</x:v>
      </x:c>
      <x:c r="F13" s="37" t="str">
        <x:v>SD Nunes</x:v>
      </x:c>
      <x:c r="G13" s="37" t="str">
        <x:v>SD Axl</x:v>
      </x:c>
      <x:c r="H13" s="37" t="str">
        <x:v>SD Jorge Lucas</x:v>
      </x:c>
      <x:c r="I13" s="37" t="str">
        <x:v>SD Carlos Monteiro</x:v>
      </x:c>
    </x:row>
    <x:row r="14" ht="18" customHeight="1">
      <x:c r="A14" s="36" t="n">
        <x:v>46150</x:v>
      </x:c>
      <x:c r="B14" s="37" t="str">
        <x:v>Sex</x:v>
      </x:c>
      <x:c r="C14" s="37" t="str">
        <x:v>2º</x:v>
      </x:c>
      <x:c r="D14" s="37" t="str">
        <x:v>Cap Amador</x:v>
      </x:c>
      <x:c r="E14" s="37" t="str">
        <x:v>Sgt Santiago</x:v>
      </x:c>
      <x:c r="F14" s="37" t="str">
        <x:v>Cap Caio</x:v>
      </x:c>
      <x:c r="G14" s="37" t="str">
        <x:v>Sgt Fernando</x:v>
      </x:c>
      <x:c r="H14" s="37" t="str">
        <x:v>SD Jaffer</x:v>
      </x:c>
      <x:c r="I14" s="37" t="str">
        <x:v>SD Carlos Monteiro</x:v>
      </x:c>
    </x:row>
    <x:row r="15" ht="18" customHeight="1">
      <x:c r="A15" s="36" t="n">
        <x:v>46153</x:v>
      </x:c>
      <x:c r="B15" s="37" t="str">
        <x:v>Seg</x:v>
      </x:c>
      <x:c r="C15" s="37" t="str">
        <x:v>1º</x:v>
      </x:c>
      <x:c r="D15" s="37" t="str">
        <x:v>Ten Cecília</x:v>
      </x:c>
      <x:c r="E15" s="37" t="str">
        <x:v>Maj Chucre</x:v>
      </x:c>
      <x:c r="F15" s="37" t="str">
        <x:v>SD Elâine</x:v>
      </x:c>
      <x:c r="G15" s="37" t="str">
        <x:v>SD Jaffer</x:v>
      </x:c>
      <x:c r="H15" s="37" t="str">
        <x:v>SD R. dos Santos</x:v>
      </x:c>
      <x:c r="I15" s="37" t="str">
        <x:v>SD Raíssa</x:v>
      </x:c>
    </x:row>
    <x:row r="16" ht="18" customHeight="1">
      <x:c r="A16" s="36" t="n">
        <x:v>46153</x:v>
      </x:c>
      <x:c r="B16" s="37" t="str">
        <x:v>Seg</x:v>
      </x:c>
      <x:c r="C16" s="37" t="str">
        <x:v>2º</x:v>
      </x:c>
      <x:c r="D16" s="37" t="str">
        <x:v>Cap Charlys</x:v>
      </x:c>
      <x:c r="E16" s="37" t="str">
        <x:v>Sgt Santiago</x:v>
      </x:c>
      <x:c r="F16" s="37" t="str">
        <x:v>SD Jorge Lucas</x:v>
      </x:c>
      <x:c r="G16" s="37" t="str">
        <x:v>SD Thales</x:v>
      </x:c>
      <x:c r="H16" s="37" t="str">
        <x:v>SD Mateus Felipe</x:v>
      </x:c>
      <x:c r="I16" s="37" t="str">
        <x:v>SD Carlos Monteiro</x:v>
      </x:c>
    </x:row>
    <x:row r="17" ht="18" customHeight="1">
      <x:c r="A17" s="36" t="n">
        <x:v>46154</x:v>
      </x:c>
      <x:c r="B17" s="37" t="str">
        <x:v>Ter</x:v>
      </x:c>
      <x:c r="C17" s="37" t="str">
        <x:v>1º</x:v>
      </x:c>
      <x:c r="D17" s="37" t="str">
        <x:v>Cel Ivanete</x:v>
      </x:c>
      <x:c r="E17" s="37" t="str">
        <x:v>Sgt Fernando</x:v>
      </x:c>
      <x:c r="F17" s="37" t="str">
        <x:v>SD Nicoly</x:v>
      </x:c>
      <x:c r="G17" s="37" t="str">
        <x:v>SD Nunes</x:v>
      </x:c>
      <x:c r="H17" s="37" t="str">
        <x:v>SD Axl</x:v>
      </x:c>
      <x:c r="I17" s="37" t="str">
        <x:v>SD R. dos Santos</x:v>
      </x:c>
    </x:row>
    <x:row r="18" ht="18" customHeight="1">
      <x:c r="A18" s="36" t="n">
        <x:v>46154</x:v>
      </x:c>
      <x:c r="B18" s="37" t="str">
        <x:v>Ter</x:v>
      </x:c>
      <x:c r="C18" s="37" t="str">
        <x:v>2º</x:v>
      </x:c>
      <x:c r="D18" s="37" t="str">
        <x:v>Cap Amador</x:v>
      </x:c>
      <x:c r="E18" s="37" t="str">
        <x:v>Sgt Cristiano</x:v>
      </x:c>
      <x:c r="F18" s="37" t="str">
        <x:v>Sgt Eline</x:v>
      </x:c>
      <x:c r="G18" s="37" t="str">
        <x:v>Sgt Santiago</x:v>
      </x:c>
      <x:c r="H18" s="37" t="str">
        <x:v>SD Jaffer</x:v>
      </x:c>
      <x:c r="I18" s="37" t="str">
        <x:v>SD Elâine</x:v>
      </x:c>
    </x:row>
    <x:row r="19" ht="18" customHeight="1">
      <x:c r="A19" s="36" t="n">
        <x:v>46155</x:v>
      </x:c>
      <x:c r="B19" s="37" t="str">
        <x:v>Qua</x:v>
      </x:c>
      <x:c r="C19" s="37" t="str">
        <x:v>1º</x:v>
      </x:c>
      <x:c r="D19" s="37" t="str">
        <x:v>Maj Chucre</x:v>
      </x:c>
      <x:c r="E19" s="37" t="str">
        <x:v>Ten Cecília</x:v>
      </x:c>
      <x:c r="F19" s="37" t="str">
        <x:v>Sgt S. Souza</x:v>
      </x:c>
      <x:c r="G19" s="37" t="str">
        <x:v>SD Elâine</x:v>
      </x:c>
      <x:c r="H19" s="37" t="str">
        <x:v>SD Jaffer</x:v>
      </x:c>
      <x:c r="I19" s="37" t="str">
        <x:v>SD R. dos Santos</x:v>
      </x:c>
    </x:row>
    <x:row r="20" ht="18" customHeight="1">
      <x:c r="A20" s="36" t="n">
        <x:v>46155</x:v>
      </x:c>
      <x:c r="B20" s="37" t="str">
        <x:v>Qua</x:v>
      </x:c>
      <x:c r="C20" s="37" t="str">
        <x:v>2º</x:v>
      </x:c>
      <x:c r="D20" s="37" t="str">
        <x:v>Cap Charlys</x:v>
      </x:c>
      <x:c r="E20" s="37" t="str">
        <x:v>Sgt Santiago</x:v>
      </x:c>
      <x:c r="F20" s="37" t="str">
        <x:v>SD Mateus Felipe</x:v>
      </x:c>
      <x:c r="G20" s="37" t="str">
        <x:v>SD Raíssa</x:v>
      </x:c>
      <x:c r="H20" s="37" t="str">
        <x:v>SD Thales</x:v>
      </x:c>
      <x:c r="I20" s="37" t="str">
        <x:v>SD Jorge Lucas</x:v>
      </x:c>
    </x:row>
    <x:row r="21" ht="18" customHeight="1">
      <x:c r="A21" s="36" t="n">
        <x:v>46156</x:v>
      </x:c>
      <x:c r="B21" s="37" t="str">
        <x:v>Qui</x:v>
      </x:c>
      <x:c r="C21" s="37" t="str">
        <x:v>1º</x:v>
      </x:c>
      <x:c r="D21" s="37" t="str">
        <x:v>Cap Amador</x:v>
      </x:c>
      <x:c r="E21" s="37" t="str">
        <x:v>Cel Ivanete</x:v>
      </x:c>
      <x:c r="F21" s="37" t="str">
        <x:v>SD Carlos Monteiro</x:v>
      </x:c>
      <x:c r="G21" s="37" t="str">
        <x:v>SD Nunes</x:v>
      </x:c>
      <x:c r="H21" s="37" t="str">
        <x:v>SD Axl</x:v>
      </x:c>
      <x:c r="I21" s="37" t="str">
        <x:v>SD Raíssa</x:v>
      </x:c>
    </x:row>
    <x:row r="22" ht="18" customHeight="1">
      <x:c r="A22" s="36" t="n">
        <x:v>46156</x:v>
      </x:c>
      <x:c r="B22" s="37" t="str">
        <x:v>Qui</x:v>
      </x:c>
      <x:c r="C22" s="37" t="str">
        <x:v>2º</x:v>
      </x:c>
      <x:c r="D22" s="37" t="str">
        <x:v>Cap Jorge Luiz</x:v>
      </x:c>
      <x:c r="E22" s="37" t="str">
        <x:v>Sgt Fernando</x:v>
      </x:c>
      <x:c r="F22" s="37" t="str">
        <x:v>SD Nicoly</x:v>
      </x:c>
      <x:c r="G22" s="37" t="str">
        <x:v>Sgt Santiago</x:v>
      </x:c>
      <x:c r="H22" s="37" t="str">
        <x:v>SD Jaffer</x:v>
      </x:c>
      <x:c r="I22" s="37" t="str">
        <x:v>SD Elâine</x:v>
      </x:c>
    </x:row>
    <x:row r="23" ht="18" customHeight="1">
      <x:c r="A23" s="36" t="n">
        <x:v>46157</x:v>
      </x:c>
      <x:c r="B23" s="37" t="str">
        <x:v>Sex</x:v>
      </x:c>
      <x:c r="C23" s="37" t="str">
        <x:v>1º</x:v>
      </x:c>
      <x:c r="D23" s="37" t="str">
        <x:v>Maj Chucre</x:v>
      </x:c>
      <x:c r="E23" s="37" t="str">
        <x:v>Sgt Cristiano</x:v>
      </x:c>
      <x:c r="F23" s="37" t="str">
        <x:v>Sgt Eline</x:v>
      </x:c>
      <x:c r="G23" s="37" t="str">
        <x:v>SD Elâine</x:v>
      </x:c>
      <x:c r="H23" s="37" t="str">
        <x:v>SD Jaffer</x:v>
      </x:c>
      <x:c r="I23" s="37" t="str">
        <x:v>SD R. dos Santos</x:v>
      </x:c>
    </x:row>
    <x:row r="24" ht="18" customHeight="1">
      <x:c r="A24" s="36" t="n">
        <x:v>46157</x:v>
      </x:c>
      <x:c r="B24" s="37" t="str">
        <x:v>Sex</x:v>
      </x:c>
      <x:c r="C24" s="37" t="str">
        <x:v>2º</x:v>
      </x:c>
      <x:c r="D24" s="37" t="str">
        <x:v>Ten Cecília</x:v>
      </x:c>
      <x:c r="E24" s="37" t="str">
        <x:v>Cap Charlys</x:v>
      </x:c>
      <x:c r="F24" s="37" t="str">
        <x:v>Sgt S. Souza</x:v>
      </x:c>
      <x:c r="G24" s="37" t="str">
        <x:v>SD Raíssa</x:v>
      </x:c>
      <x:c r="H24" s="37" t="str">
        <x:v>SD Thales</x:v>
      </x:c>
      <x:c r="I24" s="37" t="str">
        <x:v>SD Jorge Lucas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ESTATÍSTICA DAS FUNÇÕES QUENTES</x:v>
      </x:c>
      <x:c r="B1" s="9"/>
      <x:c r="C1" s="9"/>
      <x:c r="D1" s="9"/>
      <x:c r="E1" s="9"/>
      <x:c r="G1" s="42" t="str">
        <x:v>Resumo</x:v>
      </x:c>
      <x:c r="H1" s="5"/>
      <x:c r="I1" s="5"/>
      <x:c r="J1" s="5"/>
    </x:row>
    <x:row r="2" ht="18" customHeight="1">
      <x:c r="A2" s="19" t="str">
        <x:v>Contagem automática de Chefe, Auxiliar e Segurança a partir da planilha Escala Final</x:v>
      </x:c>
      <x:c r="B2" s="19"/>
      <x:c r="C2" s="19"/>
      <x:c r="D2" s="19"/>
      <x:c r="E2" s="19"/>
      <x:c r="G2" s="30" t="str">
        <x:v>Total de linhas na escala</x:v>
      </x:c>
      <x:c r="H2" s="30" t="n">
        <x:v>20</x:v>
      </x:c>
    </x:row>
    <x:row r="3" ht="18" customHeight="1">
      <x:c r="G3" s="30" t="str">
        <x:v>Total de chefias</x:v>
      </x:c>
      <x:c r="H3" s="30" t="n">
        <x:f>SUM(B5:B27)</x:f>
        <x:v>20</x:v>
      </x:c>
    </x:row>
    <x:row r="4" ht="18" customHeight="1">
      <x:c r="A4" s="24" t="str">
        <x:v>Nome</x:v>
      </x:c>
      <x:c r="B4" s="24" t="str">
        <x:v>Chefe</x:v>
      </x:c>
      <x:c r="C4" s="24" t="str">
        <x:v>Auxiliar</x:v>
      </x:c>
      <x:c r="D4" s="24" t="str">
        <x:v>Segurança</x:v>
      </x:c>
      <x:c r="E4" s="24" t="str">
        <x:v>Total quente</x:v>
      </x:c>
      <x:c r="G4" s="30" t="str">
        <x:v>Total de auxílios</x:v>
      </x:c>
      <x:c r="H4" s="30" t="n">
        <x:f>SUM(C5:C27)</x:f>
        <x:v>20</x:v>
      </x:c>
    </x:row>
    <x:row r="5" ht="18" customHeight="1">
      <x:c r="A5" s="30" t="str">
        <x:v>Cel Ivanete</x:v>
      </x:c>
      <x:c r="B5" s="30" t="n">
        <x:f>COUNTIF('Escala Final'!D$5:D$24,A5)</x:f>
        <x:v>3</x:v>
      </x:c>
      <x:c r="C5" s="30" t="n">
        <x:f>COUNTIF('Escala Final'!E$5:E$24,A5)</x:f>
        <x:v>2</x:v>
      </x:c>
      <x:c r="D5" s="30" t="n">
        <x:f>COUNTIF('Escala Final'!F$5:F$24,A5)</x:f>
        <x:v>0</x:v>
      </x:c>
      <x:c r="E5" s="30" t="n">
        <x:f>SUM(B5:D5)</x:f>
        <x:v>5</x:v>
      </x:c>
      <x:c r="G5" s="30" t="str">
        <x:v>Total de seguranças</x:v>
      </x:c>
      <x:c r="H5" s="30" t="n">
        <x:f>SUM(D5:D27)</x:f>
        <x:v>20</x:v>
      </x:c>
    </x:row>
    <x:row r="6" ht="18" customHeight="1">
      <x:c r="A6" s="30" t="str">
        <x:v>Cap Amador</x:v>
      </x:c>
      <x:c r="B6" s="30" t="n">
        <x:f>COUNTIF('Escala Final'!D$5:D$24,A6)</x:f>
        <x:v>4</x:v>
      </x:c>
      <x:c r="C6" s="30" t="n">
        <x:f>COUNTIF('Escala Final'!E$5:E$24,A6)</x:f>
        <x:v>2</x:v>
      </x:c>
      <x:c r="D6" s="30" t="n">
        <x:f>COUNTIF('Escala Final'!F$5:F$24,A6)</x:f>
        <x:v>0</x:v>
      </x:c>
      <x:c r="E6" s="30" t="n">
        <x:f>SUM(B6:D6)</x:f>
        <x:v>6</x:v>
      </x:c>
    </x:row>
    <x:row r="7" ht="18" customHeight="1">
      <x:c r="A7" s="30" t="str">
        <x:v>Sgt Cristiano</x:v>
      </x:c>
      <x:c r="B7" s="30" t="n">
        <x:f>COUNTIF('Escala Final'!D$5:D$24,A7)</x:f>
        <x:v>0</x:v>
      </x:c>
      <x:c r="C7" s="30" t="n">
        <x:f>COUNTIF('Escala Final'!E$5:E$24,A7)</x:f>
        <x:v>3</x:v>
      </x:c>
      <x:c r="D7" s="30" t="n">
        <x:f>COUNTIF('Escala Final'!F$5:F$24,A7)</x:f>
        <x:v>1</x:v>
      </x:c>
      <x:c r="E7" s="30" t="n">
        <x:f>SUM(B7:D7)</x:f>
        <x:v>4</x:v>
      </x:c>
      <x:c r="G7" s="42" t="str">
        <x:v>Destaques</x:v>
      </x:c>
      <x:c r="H7" s="5"/>
      <x:c r="I7" s="5"/>
      <x:c r="J7" s="5"/>
    </x:row>
    <x:row r="8" ht="18" customHeight="1">
      <x:c r="A8" s="30" t="str">
        <x:v>SD Carlos Monteiro</x:v>
      </x:c>
      <x:c r="B8" s="30" t="n">
        <x:f>COUNTIF('Escala Final'!D$5:D$24,A8)</x:f>
        <x:v>0</x:v>
      </x:c>
      <x:c r="C8" s="30" t="n">
        <x:f>COUNTIF('Escala Final'!E$5:E$24,A8)</x:f>
        <x:v>0</x:v>
      </x:c>
      <x:c r="D8" s="30" t="n">
        <x:f>COUNTIF('Escala Final'!F$5:F$24,A8)</x:f>
        <x:v>1</x:v>
      </x:c>
      <x:c r="E8" s="30" t="n">
        <x:f>SUM(B8:D8)</x:f>
        <x:v>1</x:v>
      </x:c>
      <x:c r="G8" s="24" t="str">
        <x:v>Nome</x:v>
      </x:c>
      <x:c r="H8" s="24" t="str">
        <x:v>Ocorrências</x:v>
      </x:c>
      <x:c r="I8" s="24" t="str">
        <x:v>Total quente</x:v>
      </x:c>
      <x:c r="J8" s="24" t="str">
        <x:v>Chefias</x:v>
      </x:c>
    </x:row>
    <x:row r="9" ht="18" customHeight="1">
      <x:c r="A9" s="30" t="str">
        <x:v>Cap Caio</x:v>
      </x:c>
      <x:c r="B9" s="30" t="n">
        <x:f>COUNTIF('Escala Final'!D$5:D$24,A9)</x:f>
        <x:v>0</x:v>
      </x:c>
      <x:c r="C9" s="30" t="n">
        <x:f>COUNTIF('Escala Final'!E$5:E$24,A9)</x:f>
        <x:v>0</x:v>
      </x:c>
      <x:c r="D9" s="30" t="n">
        <x:f>COUNTIF('Escala Final'!F$5:F$24,A9)</x:f>
        <x:v>1</x:v>
      </x:c>
      <x:c r="E9" s="30" t="n">
        <x:f>SUM(B9:D9)</x:f>
        <x:v>1</x:v>
      </x:c>
      <x:c r="G9" s="30" t="str">
        <x:v>Cap Amador</x:v>
      </x:c>
      <x:c r="H9" s="30" t="n">
        <x:f>COUNTIF(A$5:A$27,"Cel Ivanete")</x:f>
        <x:v>1</x:v>
      </x:c>
      <x:c r="I9" s="30" t="n">
        <x:f>XLOOKUP(G9,A$5:A$27,E$5:E$27,"")</x:f>
        <x:v>6</x:v>
      </x:c>
      <x:c r="J9" s="30" t="n">
        <x:f>XLOOKUP(G9,A$5:A$27,B$5:B$27,"")</x:f>
        <x:v>4</x:v>
      </x:c>
    </x:row>
    <x:row r="10" ht="18" customHeight="1">
      <x:c r="A10" s="30" t="str">
        <x:v>Sgt Eline</x:v>
      </x:c>
      <x:c r="B10" s="30" t="n">
        <x:f>COUNTIF('Escala Final'!D$5:D$24,A10)</x:f>
        <x:v>0</x:v>
      </x:c>
      <x:c r="C10" s="30" t="n">
        <x:f>COUNTIF('Escala Final'!E$5:E$24,A10)</x:f>
        <x:v>0</x:v>
      </x:c>
      <x:c r="D10" s="30" t="n">
        <x:f>COUNTIF('Escala Final'!F$5:F$24,A10)</x:f>
        <x:v>2</x:v>
      </x:c>
      <x:c r="E10" s="30" t="n">
        <x:f>SUM(B10:D10)</x:f>
        <x:v>2</x:v>
      </x:c>
      <x:c r="G10" s="30" t="str">
        <x:v>Cel Ivanete</x:v>
      </x:c>
      <x:c r="H10" s="30" t="n">
        <x:f>COUNTIF(A$5:A$27,"Cap Jorge Luiz")</x:f>
        <x:v>1</x:v>
      </x:c>
      <x:c r="I10" s="30" t="n">
        <x:f>XLOOKUP(G10,A$5:A$27,E$5:E$27,"")</x:f>
        <x:v>5</x:v>
      </x:c>
      <x:c r="J10" s="30" t="n">
        <x:f>XLOOKUP(G10,A$5:A$27,B$5:B$27,"")</x:f>
        <x:v>3</x:v>
      </x:c>
    </x:row>
    <x:row r="11" ht="18" customHeight="1">
      <x:c r="A11" s="30" t="str">
        <x:v>Cap Jorge Luiz</x:v>
      </x:c>
      <x:c r="B11" s="30" t="n">
        <x:f>COUNTIF('Escala Final'!D$5:D$24,A11)</x:f>
        <x:v>3</x:v>
      </x:c>
      <x:c r="C11" s="30" t="n">
        <x:f>COUNTIF('Escala Final'!E$5:E$24,A11)</x:f>
        <x:v>1</x:v>
      </x:c>
      <x:c r="D11" s="30" t="n">
        <x:f>COUNTIF('Escala Final'!F$5:F$24,A11)</x:f>
        <x:v>0</x:v>
      </x:c>
      <x:c r="E11" s="30" t="n">
        <x:f>SUM(B11:D11)</x:f>
        <x:v>4</x:v>
      </x:c>
      <x:c r="G11" s="30" t="str">
        <x:v>Cap Jorge Luiz</x:v>
      </x:c>
      <x:c r="H11" s="30" t="n">
        <x:f>COUNTIF(A$5:A$27,"Ten Cecília")</x:f>
        <x:v>1</x:v>
      </x:c>
      <x:c r="I11" s="30" t="n">
        <x:f>XLOOKUP(G11,A$5:A$27,E$5:E$27,"")</x:f>
        <x:v>4</x:v>
      </x:c>
      <x:c r="J11" s="30" t="n">
        <x:f>XLOOKUP(G11,A$5:A$27,B$5:B$27,"")</x:f>
        <x:v>3</x:v>
      </x:c>
    </x:row>
    <x:row r="12" ht="18" customHeight="1">
      <x:c r="A12" s="30" t="str">
        <x:v>Sgt Fernando</x:v>
      </x:c>
      <x:c r="B12" s="30" t="n">
        <x:f>COUNTIF('Escala Final'!D$5:D$24,A12)</x:f>
        <x:v>0</x:v>
      </x:c>
      <x:c r="C12" s="30" t="n">
        <x:f>COUNTIF('Escala Final'!E$5:E$24,A12)</x:f>
        <x:v>3</x:v>
      </x:c>
      <x:c r="D12" s="30" t="n">
        <x:f>COUNTIF('Escala Final'!F$5:F$24,A12)</x:f>
        <x:v>1</x:v>
      </x:c>
      <x:c r="E12" s="30" t="n">
        <x:f>SUM(B12:D12)</x:f>
        <x:v>4</x:v>
      </x:c>
      <x:c r="G12" s="30" t="str">
        <x:v>Ten Cecília</x:v>
      </x:c>
      <x:c r="H12" s="30" t="n">
        <x:f>COUNTIF(A$5:A$27,"Maj Chucre")</x:f>
        <x:v>1</x:v>
      </x:c>
      <x:c r="I12" s="30" t="n">
        <x:f>XLOOKUP(G12,A$5:A$27,E$5:E$27,"")</x:f>
        <x:v>4</x:v>
      </x:c>
      <x:c r="J12" s="30" t="n">
        <x:f>XLOOKUP(G12,A$5:A$27,B$5:B$27,"")</x:f>
        <x:v>3</x:v>
      </x:c>
    </x:row>
    <x:row r="13" ht="18" customHeight="1">
      <x:c r="A13" s="30" t="str">
        <x:v>Sgt Santiago</x:v>
      </x:c>
      <x:c r="B13" s="30" t="n">
        <x:f>COUNTIF('Escala Final'!D$5:D$24,A13)</x:f>
        <x:v>0</x:v>
      </x:c>
      <x:c r="C13" s="30" t="n">
        <x:f>COUNTIF('Escala Final'!E$5:E$24,A13)</x:f>
        <x:v>3</x:v>
      </x:c>
      <x:c r="D13" s="30" t="n">
        <x:f>COUNTIF('Escala Final'!F$5:F$24,A13)</x:f>
        <x:v>1</x:v>
      </x:c>
      <x:c r="E13" s="30" t="n">
        <x:f>SUM(B13:D13)</x:f>
        <x:v>4</x:v>
      </x:c>
      <x:c r="G13" s="30" t="str">
        <x:v>Maj Chucre</x:v>
      </x:c>
      <x:c r="H13" s="30" t="n">
        <x:f>COUNTIF(A$5:A$27,"Sgt Fernando")</x:f>
        <x:v>1</x:v>
      </x:c>
      <x:c r="I13" s="30" t="n">
        <x:f>XLOOKUP(G13,A$5:A$27,E$5:E$27,"")</x:f>
        <x:v>6</x:v>
      </x:c>
      <x:c r="J13" s="30" t="n">
        <x:f>XLOOKUP(G13,A$5:A$27,B$5:B$27,"")</x:f>
        <x:v>4</x:v>
      </x:c>
    </x:row>
    <x:row r="14" ht="18" customHeight="1">
      <x:c r="A14" s="30" t="str">
        <x:v>Sgt S. Souza</x:v>
      </x:c>
      <x:c r="B14" s="30" t="n">
        <x:f>COUNTIF('Escala Final'!D$5:D$24,A14)</x:f>
        <x:v>0</x:v>
      </x:c>
      <x:c r="C14" s="30" t="n">
        <x:f>COUNTIF('Escala Final'!E$5:E$24,A14)</x:f>
        <x:v>0</x:v>
      </x:c>
      <x:c r="D14" s="30" t="n">
        <x:f>COUNTIF('Escala Final'!F$5:F$24,A14)</x:f>
        <x:v>2</x:v>
      </x:c>
      <x:c r="E14" s="30" t="n">
        <x:f>SUM(B14:D14)</x:f>
        <x:v>2</x:v>
      </x:c>
      <x:c r="G14" t="str">
        <x:v>Sgt Fernando</x:v>
      </x:c>
    </x:row>
    <x:row r="15" ht="18" customHeight="1">
      <x:c r="A15" s="30" t="str">
        <x:v>SD Elâine</x:v>
      </x:c>
      <x:c r="B15" s="30" t="n">
        <x:f>COUNTIF('Escala Final'!D$5:D$24,A15)</x:f>
        <x:v>0</x:v>
      </x:c>
      <x:c r="C15" s="30" t="n">
        <x:f>COUNTIF('Escala Final'!E$5:E$24,A15)</x:f>
        <x:v>0</x:v>
      </x:c>
      <x:c r="D15" s="30" t="n">
        <x:f>COUNTIF('Escala Final'!F$5:F$24,A15)</x:f>
        <x:v>1</x:v>
      </x:c>
      <x:c r="E15" s="30" t="n">
        <x:f>SUM(B15:D15)</x:f>
        <x:v>1</x:v>
      </x:c>
    </x:row>
    <x:row r="16" ht="18" customHeight="1">
      <x:c r="A16" s="30" t="str">
        <x:v>SD Jaffer</x:v>
      </x:c>
      <x:c r="B16" s="30" t="n">
        <x:f>COUNTIF('Escala Final'!D$5:D$24,A16)</x:f>
        <x:v>0</x:v>
      </x:c>
      <x:c r="C16" s="30" t="n">
        <x:f>COUNTIF('Escala Final'!E$5:E$24,A16)</x:f>
        <x:v>0</x:v>
      </x:c>
      <x:c r="D16" s="30" t="n">
        <x:f>COUNTIF('Escala Final'!F$5:F$24,A16)</x:f>
        <x:v>1</x:v>
      </x:c>
      <x:c r="E16" s="30" t="n">
        <x:f>SUM(B16:D16)</x:f>
        <x:v>1</x:v>
      </x:c>
    </x:row>
    <x:row r="17" ht="18" customHeight="1">
      <x:c r="A17" s="30" t="str">
        <x:v>Maj Chucre</x:v>
      </x:c>
      <x:c r="B17" s="30" t="n">
        <x:f>COUNTIF('Escala Final'!D$5:D$24,A17)</x:f>
        <x:v>4</x:v>
      </x:c>
      <x:c r="C17" s="30" t="n">
        <x:f>COUNTIF('Escala Final'!E$5:E$24,A17)</x:f>
        <x:v>2</x:v>
      </x:c>
      <x:c r="D17" s="30" t="n">
        <x:f>COUNTIF('Escala Final'!F$5:F$24,A17)</x:f>
        <x:v>0</x:v>
      </x:c>
      <x:c r="E17" s="30" t="n">
        <x:f>SUM(B17:D17)</x:f>
        <x:v>6</x:v>
      </x:c>
    </x:row>
    <x:row r="18" ht="18" customHeight="1">
      <x:c r="A18" s="30" t="str">
        <x:v>Cap Charlys</x:v>
      </x:c>
      <x:c r="B18" s="30" t="n">
        <x:f>COUNTIF('Escala Final'!D$5:D$24,A18)</x:f>
        <x:v>3</x:v>
      </x:c>
      <x:c r="C18" s="30" t="n">
        <x:f>COUNTIF('Escala Final'!E$5:E$24,A18)</x:f>
        <x:v>3</x:v>
      </x:c>
      <x:c r="D18" s="30" t="n">
        <x:f>COUNTIF('Escala Final'!F$5:F$24,A18)</x:f>
        <x:v>0</x:v>
      </x:c>
      <x:c r="E18" s="30" t="n">
        <x:f>SUM(B18:D18)</x:f>
        <x:v>6</x:v>
      </x:c>
    </x:row>
    <x:row r="19" ht="18" customHeight="1">
      <x:c r="A19" s="30" t="str">
        <x:v>SD R. dos Santos</x:v>
      </x:c>
      <x:c r="B19" s="30" t="n">
        <x:f>COUNTIF('Escala Final'!D$5:D$24,A19)</x:f>
        <x:v>0</x:v>
      </x:c>
      <x:c r="C19" s="30" t="n">
        <x:f>COUNTIF('Escala Final'!E$5:E$24,A19)</x:f>
        <x:v>0</x:v>
      </x:c>
      <x:c r="D19" s="30" t="n">
        <x:f>COUNTIF('Escala Final'!F$5:F$24,A19)</x:f>
        <x:v>1</x:v>
      </x:c>
      <x:c r="E19" s="30" t="n">
        <x:f>SUM(B19:D19)</x:f>
        <x:v>1</x:v>
      </x:c>
    </x:row>
    <x:row r="20" ht="18" customHeight="1">
      <x:c r="A20" s="30" t="str">
        <x:v>SD Thales</x:v>
      </x:c>
      <x:c r="B20" s="30" t="n">
        <x:f>COUNTIF('Escala Final'!D$5:D$24,A20)</x:f>
        <x:v>0</x:v>
      </x:c>
      <x:c r="C20" s="30" t="n">
        <x:f>COUNTIF('Escala Final'!E$5:E$24,A20)</x:f>
        <x:v>0</x:v>
      </x:c>
      <x:c r="D20" s="30" t="n">
        <x:f>COUNTIF('Escala Final'!F$5:F$24,A20)</x:f>
        <x:v>1</x:v>
      </x:c>
      <x:c r="E20" s="30" t="n">
        <x:f>SUM(B20:D20)</x:f>
        <x:v>1</x:v>
      </x:c>
    </x:row>
    <x:row r="21" ht="18" customHeight="1">
      <x:c r="A21" s="30" t="str">
        <x:v>SD Jorge Lucas</x:v>
      </x:c>
      <x:c r="B21" s="30" t="n">
        <x:f>COUNTIF('Escala Final'!D$5:D$24,A21)</x:f>
        <x:v>0</x:v>
      </x:c>
      <x:c r="C21" s="30" t="n">
        <x:f>COUNTIF('Escala Final'!E$5:E$24,A21)</x:f>
        <x:v>0</x:v>
      </x:c>
      <x:c r="D21" s="30" t="n">
        <x:f>COUNTIF('Escala Final'!F$5:F$24,A21)</x:f>
        <x:v>1</x:v>
      </x:c>
      <x:c r="E21" s="30" t="n">
        <x:f>SUM(B21:D21)</x:f>
        <x:v>1</x:v>
      </x:c>
    </x:row>
    <x:row r="22" ht="18" customHeight="1">
      <x:c r="A22" s="30" t="str">
        <x:v>SD Mateus Felipe</x:v>
      </x:c>
      <x:c r="B22" s="30" t="n">
        <x:f>COUNTIF('Escala Final'!D$5:D$24,A22)</x:f>
        <x:v>0</x:v>
      </x:c>
      <x:c r="C22" s="30" t="n">
        <x:f>COUNTIF('Escala Final'!E$5:E$24,A22)</x:f>
        <x:v>0</x:v>
      </x:c>
      <x:c r="D22" s="30" t="n">
        <x:f>COUNTIF('Escala Final'!F$5:F$24,A22)</x:f>
        <x:v>1</x:v>
      </x:c>
      <x:c r="E22" s="30" t="n">
        <x:f>SUM(B22:D22)</x:f>
        <x:v>1</x:v>
      </x:c>
    </x:row>
    <x:row r="23" ht="18" customHeight="1">
      <x:c r="A23" s="30" t="str">
        <x:v>Ten Cecília</x:v>
      </x:c>
      <x:c r="B23" s="30" t="n">
        <x:f>COUNTIF('Escala Final'!D$5:D$24,A23)</x:f>
        <x:v>3</x:v>
      </x:c>
      <x:c r="C23" s="30" t="n">
        <x:f>COUNTIF('Escala Final'!E$5:E$24,A23)</x:f>
        <x:v>1</x:v>
      </x:c>
      <x:c r="D23" s="30" t="n">
        <x:f>COUNTIF('Escala Final'!F$5:F$24,A23)</x:f>
        <x:v>0</x:v>
      </x:c>
      <x:c r="E23" s="30" t="n">
        <x:f>SUM(B23:D23)</x:f>
        <x:v>4</x:v>
      </x:c>
    </x:row>
    <x:row r="24" ht="18" customHeight="1">
      <x:c r="A24" s="30" t="str">
        <x:v>SD Raíssa</x:v>
      </x:c>
      <x:c r="B24" s="30" t="n">
        <x:f>COUNTIF('Escala Final'!D$5:D$24,A24)</x:f>
        <x:v>0</x:v>
      </x:c>
      <x:c r="C24" s="30" t="n">
        <x:f>COUNTIF('Escala Final'!E$5:E$24,A24)</x:f>
        <x:v>0</x:v>
      </x:c>
      <x:c r="D24" s="30" t="n">
        <x:f>COUNTIF('Escala Final'!F$5:F$24,A24)</x:f>
        <x:v>1</x:v>
      </x:c>
      <x:c r="E24" s="30" t="n">
        <x:f>SUM(B24:D24)</x:f>
        <x:v>1</x:v>
      </x:c>
    </x:row>
    <x:row r="25" ht="18" customHeight="1">
      <x:c r="A25" s="30" t="str">
        <x:v>SD Nicoly</x:v>
      </x:c>
      <x:c r="B25" s="30" t="n">
        <x:f>COUNTIF('Escala Final'!D$5:D$24,A25)</x:f>
        <x:v>0</x:v>
      </x:c>
      <x:c r="C25" s="30" t="n">
        <x:f>COUNTIF('Escala Final'!E$5:E$24,A25)</x:f>
        <x:v>0</x:v>
      </x:c>
      <x:c r="D25" s="30" t="n">
        <x:f>COUNTIF('Escala Final'!F$5:F$24,A25)</x:f>
        <x:v>2</x:v>
      </x:c>
      <x:c r="E25" s="30" t="n">
        <x:f>SUM(B25:D25)</x:f>
        <x:v>2</x:v>
      </x:c>
    </x:row>
    <x:row r="26" ht="18" customHeight="1">
      <x:c r="A26" s="30" t="str">
        <x:v>SD Nunes</x:v>
      </x:c>
      <x:c r="B26" s="30" t="n">
        <x:f>COUNTIF('Escala Final'!D$5:D$24,A26)</x:f>
        <x:v>0</x:v>
      </x:c>
      <x:c r="C26" s="30" t="n">
        <x:f>COUNTIF('Escala Final'!E$5:E$24,A26)</x:f>
        <x:v>0</x:v>
      </x:c>
      <x:c r="D26" s="30" t="n">
        <x:f>COUNTIF('Escala Final'!F$5:F$24,A26)</x:f>
        <x:v>1</x:v>
      </x:c>
      <x:c r="E26" s="30" t="n">
        <x:f>SUM(B26:D26)</x:f>
        <x:v>1</x:v>
      </x:c>
    </x:row>
    <x:row r="27" ht="18" customHeight="1">
      <x:c r="A27" s="30" t="str">
        <x:v>SD Axl</x:v>
      </x:c>
      <x:c r="B27" s="30" t="n">
        <x:f>COUNTIF('Escala Final'!D$5:D$24,A27)</x:f>
        <x:v>0</x:v>
      </x:c>
      <x:c r="C27" s="30" t="n">
        <x:f>COUNTIF('Escala Final'!E$5:E$24,A27)</x:f>
        <x:v>0</x:v>
      </x:c>
      <x:c r="D27" s="30" t="n">
        <x:f>COUNTIF('Escala Final'!F$5:F$24,A27)</x:f>
        <x:v>1</x:v>
      </x:c>
      <x:c r="E27" s="30" t="n">
        <x:f>SUM(B27:D27)</x:f>
        <x:v>1</x:v>
      </x:c>
    </x:row>
  </x:sheetData>
  <x:mergeCells>
    <x:mergeCell ref="A1:E1"/>
    <x:mergeCell ref="A2:E2"/>
    <x:mergeCell ref="G1:J1"/>
    <x:mergeCell ref="G7:J7"/>
  </x:mergeCells>
  <x:pageMargins left="0.7" right="0.7" top="0.75" bottom="0.75" header="0.3" footer="0.3"/>
</x:worksheet>
</file>